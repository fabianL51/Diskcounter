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ct\1_Shadowcounter\3_Release\3_V8\"/>
    </mc:Choice>
  </mc:AlternateContent>
  <xr:revisionPtr revIDLastSave="0" documentId="13_ncr:1_{8B57465C-1D39-4F9A-9344-916ABEAFB920}" xr6:coauthVersionLast="47" xr6:coauthVersionMax="47" xr10:uidLastSave="{00000000-0000-0000-0000-000000000000}"/>
  <bookViews>
    <workbookView xWindow="-108" yWindow="-108" windowWidth="23256" windowHeight="12576" activeTab="4" xr2:uid="{194A862E-74D9-41AD-9A92-DC686DF022A1}"/>
  </bookViews>
  <sheets>
    <sheet name="LemonTree" sheetId="32" r:id="rId1"/>
    <sheet name="Overview_Template" sheetId="57" r:id="rId2"/>
    <sheet name="History_Template" sheetId="30" r:id="rId3"/>
    <sheet name="Moonspense" sheetId="31" r:id="rId4"/>
    <sheet name="Nancyplan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7" l="1"/>
  <c r="Q5" i="57"/>
  <c r="R4" i="57"/>
  <c r="Q4" i="57"/>
  <c r="S3" i="57"/>
  <c r="Q3" i="57"/>
  <c r="S2" i="57"/>
  <c r="Q2" i="57"/>
  <c r="R10" i="57"/>
  <c r="R11" i="57"/>
  <c r="P12" i="57"/>
  <c r="R12" i="57"/>
  <c r="Q15" i="57"/>
  <c r="Q16" i="57"/>
  <c r="Q17" i="57"/>
  <c r="Q19" i="57"/>
  <c r="Q20" i="57"/>
  <c r="Q31" i="57"/>
  <c r="R31" i="57"/>
  <c r="D20" i="4"/>
  <c r="D19" i="4"/>
  <c r="D18" i="4"/>
  <c r="D17" i="4"/>
  <c r="E16" i="4"/>
  <c r="H11" i="4" s="1"/>
  <c r="A13" i="4"/>
  <c r="A12" i="4"/>
  <c r="H9" i="4"/>
  <c r="H8" i="4"/>
  <c r="M3" i="4"/>
  <c r="M2" i="4"/>
  <c r="N1" i="4"/>
  <c r="B2" i="4" l="1"/>
  <c r="B3" i="4" s="1"/>
  <c r="B7" i="4" s="1"/>
  <c r="B12" i="4" s="1"/>
  <c r="B8" i="4" l="1"/>
  <c r="B13" i="4" s="1"/>
  <c r="M42" i="57" l="1"/>
  <c r="L42" i="57"/>
  <c r="K42" i="57"/>
  <c r="J42" i="57"/>
  <c r="I42" i="57"/>
  <c r="H42" i="57"/>
  <c r="G42" i="57"/>
  <c r="F42" i="57"/>
  <c r="E42" i="57"/>
  <c r="D42" i="57"/>
  <c r="C42" i="57"/>
  <c r="B42" i="57"/>
  <c r="C35" i="57" l="1"/>
  <c r="D35" i="57"/>
  <c r="E35" i="57"/>
  <c r="F35" i="57"/>
  <c r="F37" i="57" s="1"/>
  <c r="G35" i="57"/>
  <c r="G37" i="57" s="1"/>
  <c r="H35" i="57"/>
  <c r="H37" i="57" s="1"/>
  <c r="I35" i="57"/>
  <c r="I37" i="57" s="1"/>
  <c r="J35" i="57"/>
  <c r="J37" i="57" s="1"/>
  <c r="K35" i="57"/>
  <c r="K37" i="57" s="1"/>
  <c r="L35" i="57"/>
  <c r="L37" i="57" s="1"/>
  <c r="M35" i="57"/>
  <c r="M37" i="57" s="1"/>
  <c r="C36" i="57"/>
  <c r="C37" i="57" s="1"/>
  <c r="D36" i="57"/>
  <c r="E36" i="57"/>
  <c r="F36" i="57"/>
  <c r="G36" i="57"/>
  <c r="H36" i="57"/>
  <c r="I36" i="57"/>
  <c r="J36" i="57"/>
  <c r="K36" i="57"/>
  <c r="L36" i="57"/>
  <c r="M36" i="57"/>
  <c r="B36" i="57"/>
  <c r="B35" i="57"/>
  <c r="B37" i="57" s="1"/>
  <c r="D37" i="57"/>
  <c r="E37" i="57"/>
  <c r="N4" i="57" l="1"/>
  <c r="N35" i="57"/>
  <c r="N36" i="57"/>
  <c r="N40" i="57"/>
  <c r="N41" i="57"/>
  <c r="N29" i="57"/>
  <c r="N30" i="57"/>
  <c r="N31" i="57"/>
  <c r="N32" i="57"/>
  <c r="N33" i="57"/>
  <c r="N28" i="57"/>
  <c r="N27" i="57"/>
  <c r="N26" i="57"/>
  <c r="N25" i="57"/>
  <c r="N24" i="57"/>
  <c r="N23" i="57"/>
  <c r="N22" i="57"/>
  <c r="N21" i="57"/>
  <c r="N20" i="57"/>
  <c r="N19" i="57"/>
  <c r="N18" i="57"/>
  <c r="N17" i="57"/>
  <c r="N15" i="57"/>
  <c r="N14" i="57"/>
  <c r="N13" i="57"/>
  <c r="N12" i="57"/>
  <c r="N11" i="57"/>
  <c r="N10" i="57"/>
  <c r="N9" i="57"/>
  <c r="N8" i="57"/>
  <c r="N7" i="57"/>
  <c r="N6" i="57"/>
  <c r="N5" i="57"/>
  <c r="N42" i="57" l="1"/>
  <c r="A41" i="57" l="1"/>
  <c r="A40" i="57"/>
  <c r="P15" i="57" l="1"/>
  <c r="P10" i="57"/>
  <c r="P16" i="57"/>
  <c r="P11" i="57"/>
  <c r="N37" i="57"/>
  <c r="I2" i="30" l="1"/>
  <c r="H2" i="30" l="1"/>
  <c r="G2" i="30"/>
</calcChain>
</file>

<file path=xl/sharedStrings.xml><?xml version="1.0" encoding="utf-8"?>
<sst xmlns="http://schemas.openxmlformats.org/spreadsheetml/2006/main" count="128" uniqueCount="108">
  <si>
    <t>Jahr</t>
  </si>
  <si>
    <t>Expense</t>
  </si>
  <si>
    <t>Category</t>
  </si>
  <si>
    <t>Cost</t>
  </si>
  <si>
    <t>Date</t>
  </si>
  <si>
    <t>Income</t>
  </si>
  <si>
    <t>Expense Table</t>
  </si>
  <si>
    <t>Estimation Expense</t>
  </si>
  <si>
    <t>Net Income</t>
  </si>
  <si>
    <t>Percentage</t>
  </si>
  <si>
    <t>Amazon</t>
  </si>
  <si>
    <t>Amazon Yearly</t>
  </si>
  <si>
    <t>Due 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</si>
  <si>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</si>
  <si>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</si>
  <si>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</si>
  <si>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</si>
  <si>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</si>
  <si>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</si>
  <si>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</si>
  <si>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</si>
  <si>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</si>
  <si>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</si>
  <si>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</si>
  <si>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</si>
  <si>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Storage</t>
  </si>
  <si>
    <t>Row Income</t>
  </si>
  <si>
    <t xml:space="preserve">Start </t>
  </si>
  <si>
    <t>End</t>
  </si>
  <si>
    <t>Row Expense</t>
  </si>
  <si>
    <t>Free Flow</t>
  </si>
  <si>
    <t>Row FF</t>
  </si>
  <si>
    <t>Estimation</t>
  </si>
  <si>
    <t>In</t>
  </si>
  <si>
    <t>Out</t>
  </si>
  <si>
    <t>Detail</t>
  </si>
  <si>
    <t>Last Categories</t>
  </si>
  <si>
    <t>Categories</t>
  </si>
  <si>
    <t>Status</t>
  </si>
  <si>
    <t>Total</t>
  </si>
  <si>
    <t>Current Row</t>
  </si>
  <si>
    <t>Monthly Expense</t>
  </si>
  <si>
    <t>Balance</t>
  </si>
  <si>
    <t>Starting Balance</t>
  </si>
  <si>
    <t>Gross Income</t>
  </si>
  <si>
    <t>Total Expenses</t>
  </si>
  <si>
    <t>Cash Flow</t>
  </si>
  <si>
    <t>Row CF</t>
  </si>
  <si>
    <t>Bank</t>
  </si>
  <si>
    <t>Total Net Income</t>
  </si>
  <si>
    <t>Insurances Monthly</t>
  </si>
  <si>
    <t>Bank_Template</t>
  </si>
  <si>
    <t>Supported Currency</t>
  </si>
  <si>
    <t>Rupiah</t>
  </si>
  <si>
    <t>Dollar</t>
  </si>
  <si>
    <t>Euro</t>
  </si>
  <si>
    <t>Pounds</t>
  </si>
  <si>
    <t>DISK COUNTER SAYS HAY LOW</t>
  </si>
  <si>
    <t>LEMON TREE</t>
  </si>
  <si>
    <t>Instructions How To Use:</t>
  </si>
  <si>
    <t>Currency for your Maney Buney Sweetey</t>
  </si>
  <si>
    <t>This Month</t>
  </si>
  <si>
    <t>Choose here</t>
  </si>
  <si>
    <t xml:space="preserve">Diskcounter  Copyright © 2021, Fabian </t>
  </si>
  <si>
    <t xml:space="preserve"> Liemawan Adji</t>
  </si>
  <si>
    <t>"Limaone"</t>
  </si>
  <si>
    <t>"Los Angeles"</t>
  </si>
  <si>
    <t>I wonder how</t>
  </si>
  <si>
    <t>I wonder why</t>
  </si>
  <si>
    <t xml:space="preserve">Yesterday you </t>
  </si>
  <si>
    <t>told me bout</t>
  </si>
  <si>
    <t xml:space="preserve"> the blue blue </t>
  </si>
  <si>
    <t xml:space="preserve">sky and all that </t>
  </si>
  <si>
    <t xml:space="preserve">I can see just </t>
  </si>
  <si>
    <t xml:space="preserve">another Lemon </t>
  </si>
  <si>
    <t>Tree</t>
  </si>
  <si>
    <t>Yearly</t>
  </si>
  <si>
    <t>Federal Reserves</t>
  </si>
  <si>
    <t>Rest Collector</t>
  </si>
  <si>
    <t>This Year</t>
  </si>
  <si>
    <t>Current</t>
  </si>
  <si>
    <t>Income Balance</t>
  </si>
  <si>
    <t>Start</t>
  </si>
  <si>
    <t>Tiers</t>
  </si>
  <si>
    <t>Bank Balance</t>
  </si>
  <si>
    <t>Current Balance Books</t>
  </si>
  <si>
    <t>Saving Type</t>
  </si>
  <si>
    <t>Active Balance</t>
  </si>
  <si>
    <t>Prod1</t>
  </si>
  <si>
    <t>Prod2</t>
  </si>
  <si>
    <t>Category 1</t>
  </si>
  <si>
    <t>Category 2</t>
  </si>
  <si>
    <t>Category 3</t>
  </si>
  <si>
    <t>Category 4</t>
  </si>
  <si>
    <t>Insurances</t>
  </si>
  <si>
    <t>Rename Me</t>
  </si>
  <si>
    <t>Rename Me Yearly</t>
  </si>
  <si>
    <t>Thing 1</t>
  </si>
  <si>
    <t>Insurance 1</t>
  </si>
  <si>
    <t>Max</t>
  </si>
  <si>
    <t>v.8.2</t>
  </si>
  <si>
    <t>1) Read the instructions in Readme for first time use</t>
  </si>
  <si>
    <t xml:space="preserve">2) Go under the Lemon Tree in Fools Garden and Start the Program </t>
  </si>
  <si>
    <t>Total Balance</t>
  </si>
  <si>
    <t>Use Percentage</t>
  </si>
  <si>
    <t>Use Estimated Amount</t>
  </si>
  <si>
    <t>Tier 1</t>
  </si>
  <si>
    <t>Tier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</si>
</sst>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8" formatCode="#,##0.00\ &quot;€&quot;;[Red]\-#,##0.00\ &quot;€&quot;"/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22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164" fontId="0" fillId="0" borderId="4" xfId="0" applyNumberFormat="1" applyBorder="1"/>
    <xf numFmtId="164" fontId="0" fillId="0" borderId="0" xfId="0" applyNumberFormat="1"/>
    <xf numFmtId="0" fontId="0" fillId="0" borderId="6" xfId="0" applyBorder="1"/>
    <xf numFmtId="164" fontId="0" fillId="0" borderId="6" xfId="0" applyNumberFormat="1" applyBorder="1"/>
    <xf numFmtId="164" fontId="0" fillId="0" borderId="3" xfId="0" applyNumberFormat="1" applyBorder="1"/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164" fontId="0" fillId="0" borderId="13" xfId="0" applyNumberFormat="1" applyBorder="1"/>
    <xf numFmtId="0" fontId="0" fillId="0" borderId="7" xfId="0" applyBorder="1"/>
    <xf numFmtId="0" fontId="0" fillId="0" borderId="9" xfId="0" applyBorder="1"/>
    <xf numFmtId="0" fontId="0" fillId="0" borderId="23" xfId="0" applyBorder="1"/>
    <xf numFmtId="164" fontId="0" fillId="0" borderId="7" xfId="0" applyNumberFormat="1" applyBorder="1"/>
    <xf numFmtId="164" fontId="0" fillId="0" borderId="22" xfId="0" applyNumberFormat="1" applyBorder="1"/>
    <xf numFmtId="164" fontId="0" fillId="0" borderId="20" xfId="0" applyNumberFormat="1" applyBorder="1"/>
    <xf numFmtId="0" fontId="0" fillId="0" borderId="13" xfId="0" applyBorder="1" applyAlignment="1">
      <alignment horizontal="center"/>
    </xf>
    <xf numFmtId="164" fontId="0" fillId="0" borderId="0" xfId="0" applyNumberFormat="1" applyBorder="1"/>
    <xf numFmtId="0" fontId="0" fillId="0" borderId="0" xfId="0" applyFill="1" applyBorder="1"/>
    <xf numFmtId="164" fontId="0" fillId="0" borderId="26" xfId="0" applyNumberFormat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24" xfId="0" applyBorder="1"/>
    <xf numFmtId="0" fontId="0" fillId="0" borderId="31" xfId="0" applyBorder="1"/>
    <xf numFmtId="0" fontId="0" fillId="0" borderId="32" xfId="0" applyBorder="1"/>
    <xf numFmtId="0" fontId="0" fillId="0" borderId="30" xfId="0" applyBorder="1"/>
    <xf numFmtId="0" fontId="0" fillId="0" borderId="28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7" fillId="0" borderId="0" xfId="0" applyFo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8" fillId="5" borderId="0" xfId="0" applyFont="1" applyFill="1"/>
    <xf numFmtId="0" fontId="0" fillId="2" borderId="0" xfId="0" applyFill="1"/>
    <xf numFmtId="0" fontId="9" fillId="0" borderId="0" xfId="1"/>
    <xf numFmtId="0" fontId="0" fillId="0" borderId="4" xfId="0" applyBorder="1" applyAlignment="1"/>
    <xf numFmtId="0" fontId="0" fillId="6" borderId="0" xfId="0" applyFill="1"/>
    <xf numFmtId="0" fontId="0" fillId="6" borderId="0" xfId="0" applyFill="1" applyBorder="1" applyAlignment="1"/>
    <xf numFmtId="0" fontId="0" fillId="7" borderId="3" xfId="0" applyFill="1" applyBorder="1" applyAlignment="1"/>
    <xf numFmtId="0" fontId="0" fillId="0" borderId="37" xfId="0" applyBorder="1"/>
    <xf numFmtId="0" fontId="0" fillId="0" borderId="28" xfId="0" applyBorder="1"/>
    <xf numFmtId="0" fontId="0" fillId="0" borderId="21" xfId="0" applyBorder="1"/>
    <xf numFmtId="0" fontId="0" fillId="0" borderId="25" xfId="0" applyBorder="1"/>
    <xf numFmtId="8" fontId="0" fillId="0" borderId="13" xfId="0" applyNumberFormat="1" applyBorder="1"/>
    <xf numFmtId="8" fontId="0" fillId="0" borderId="4" xfId="0" applyNumberFormat="1" applyBorder="1"/>
    <xf numFmtId="8" fontId="0" fillId="0" borderId="6" xfId="0" applyNumberFormat="1" applyBorder="1"/>
    <xf numFmtId="0" fontId="0" fillId="0" borderId="0" xfId="0" applyBorder="1"/>
    <xf numFmtId="0" fontId="0" fillId="0" borderId="39" xfId="0" applyBorder="1"/>
    <xf numFmtId="164" fontId="0" fillId="0" borderId="39" xfId="0" applyNumberFormat="1" applyBorder="1"/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9" xfId="0" applyBorder="1" applyProtection="1">
      <protection locked="0"/>
    </xf>
    <xf numFmtId="8" fontId="0" fillId="0" borderId="20" xfId="0" applyNumberFormat="1" applyBorder="1"/>
    <xf numFmtId="7" fontId="0" fillId="0" borderId="13" xfId="0" applyNumberFormat="1" applyBorder="1"/>
    <xf numFmtId="164" fontId="0" fillId="0" borderId="15" xfId="0" applyNumberFormat="1" applyBorder="1"/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8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8" fontId="0" fillId="0" borderId="2" xfId="0" applyNumberFormat="1" applyBorder="1" applyAlignment="1">
      <alignment horizontal="center"/>
    </xf>
    <xf numFmtId="8" fontId="0" fillId="0" borderId="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Link" xfId="1" builtinId="8"/>
    <cellStyle name="Standard" xfId="0" builtinId="0"/>
  </cellStyles>
  <dxfs count="39"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" formatCode="0"/>
    </dxf>
    <dxf>
      <numFmt numFmtId="1" formatCode="0"/>
    </dxf>
    <dxf>
      <numFmt numFmtId="1" formatCode="0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6" formatCode="[$$-409]#,##0.00_ ;[Red]\-[$$-409]#,##0.00\ "/>
    </dxf>
    <dxf>
      <numFmt numFmtId="167" formatCode="[$Rp-421]#,##0.00;[Red]\-[$Rp-421]#,##0.00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9" formatCode="dd/mm/yyyy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777240</xdr:colOff>
          <xdr:row>3</xdr:row>
          <xdr:rowOff>22860</xdr:rowOff>
        </xdr:from>
        <xdr:to>
          <xdr:col>9</xdr:col>
          <xdr:colOff>228600</xdr:colOff>
          <xdr:row>5</xdr:row>
          <xdr:rowOff>114300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1AC5C-35A7-488A-9A10-919409E31EC6}">
  <sheetPr codeName="Tabelle5"/>
  <dimension ref="A1:R22"/>
  <sheetViews>
    <sheetView workbookViewId="0">
      <selection activeCell="L13" sqref="L13"/>
    </sheetView>
  </sheetViews>
  <sheetFormatPr baseColWidth="10" defaultRowHeight="14.4" x14ac:dyDescent="0.3"/>
  <cols>
    <col min="1" max="1" width="12.6640625" customWidth="1"/>
    <col min="2" max="2" width="12" bestFit="1" customWidth="1"/>
    <col min="3" max="3" width="13.109375" customWidth="1"/>
    <col min="4" max="4" width="11.33203125" customWidth="1"/>
    <col min="8" max="8" width="12.33203125" customWidth="1"/>
    <col min="11" max="11" width="8.5546875" customWidth="1"/>
    <col min="12" max="12" width="17.77734375" customWidth="1"/>
    <col min="13" max="13" width="14.6640625" customWidth="1"/>
    <col min="14" max="14" width="12.88671875" customWidth="1"/>
    <col min="16" max="16" width="12.88671875" customWidth="1"/>
  </cols>
  <sheetData>
    <row r="1" spans="1:18" x14ac:dyDescent="0.3">
      <c r="A1" s="68" t="s">
        <v>57</v>
      </c>
      <c r="B1" s="69"/>
      <c r="C1" s="69"/>
      <c r="D1" s="69"/>
      <c r="E1" s="70"/>
      <c r="H1" s="74" t="s">
        <v>58</v>
      </c>
      <c r="I1" s="75"/>
      <c r="J1" s="75"/>
    </row>
    <row r="2" spans="1:18" ht="15" thickBot="1" x14ac:dyDescent="0.35">
      <c r="A2" s="71"/>
      <c r="B2" s="72"/>
      <c r="C2" s="72"/>
      <c r="D2" s="72"/>
      <c r="E2" s="73"/>
      <c r="F2" t="s">
        <v>100</v>
      </c>
      <c r="H2" s="75"/>
      <c r="I2" s="75"/>
      <c r="J2" s="75"/>
      <c r="L2" s="35" t="s">
        <v>63</v>
      </c>
      <c r="M2" s="36"/>
      <c r="N2" s="36" t="s">
        <v>65</v>
      </c>
      <c r="O2" s="36" t="s">
        <v>64</v>
      </c>
      <c r="P2" s="37"/>
      <c r="R2" s="29"/>
    </row>
    <row r="3" spans="1:18" x14ac:dyDescent="0.3">
      <c r="A3" s="39" t="s">
        <v>67</v>
      </c>
      <c r="B3" s="43" t="s">
        <v>68</v>
      </c>
      <c r="C3" s="39" t="s">
        <v>69</v>
      </c>
      <c r="D3" s="43" t="s">
        <v>70</v>
      </c>
      <c r="E3" s="39" t="s">
        <v>71</v>
      </c>
      <c r="I3" s="46"/>
      <c r="L3" s="40"/>
      <c r="M3" s="41"/>
      <c r="N3" s="41"/>
    </row>
    <row r="4" spans="1:18" x14ac:dyDescent="0.3">
      <c r="A4" s="43" t="s">
        <v>72</v>
      </c>
      <c r="B4" s="39" t="s">
        <v>73</v>
      </c>
      <c r="C4" s="43" t="s">
        <v>74</v>
      </c>
      <c r="D4" s="39" t="s">
        <v>75</v>
      </c>
      <c r="I4" s="46"/>
      <c r="L4" s="42"/>
      <c r="M4" s="42"/>
      <c r="N4" s="42"/>
    </row>
    <row r="5" spans="1:18" x14ac:dyDescent="0.3">
      <c r="I5" s="46"/>
      <c r="L5" s="39"/>
      <c r="M5" s="39"/>
      <c r="N5" s="39"/>
    </row>
    <row r="6" spans="1:18" x14ac:dyDescent="0.3">
      <c r="I6" s="46"/>
      <c r="Q6" s="38" t="s">
        <v>65</v>
      </c>
    </row>
    <row r="7" spans="1:18" x14ac:dyDescent="0.3">
      <c r="I7" s="46"/>
      <c r="Q7" s="38" t="s">
        <v>66</v>
      </c>
    </row>
    <row r="8" spans="1:18" ht="15" thickBot="1" x14ac:dyDescent="0.35">
      <c r="I8" s="46"/>
      <c r="M8" t="s">
        <v>62</v>
      </c>
    </row>
    <row r="9" spans="1:18" ht="15" thickBot="1" x14ac:dyDescent="0.35">
      <c r="A9" s="76" t="s">
        <v>59</v>
      </c>
      <c r="B9" s="76"/>
      <c r="C9" s="76"/>
      <c r="D9" s="76"/>
      <c r="E9" s="76"/>
      <c r="I9" s="47"/>
      <c r="J9" s="45" t="s">
        <v>60</v>
      </c>
      <c r="K9" s="45"/>
      <c r="L9" s="45"/>
      <c r="M9" s="48" t="s">
        <v>55</v>
      </c>
      <c r="N9" s="30"/>
    </row>
    <row r="10" spans="1:18" x14ac:dyDescent="0.3">
      <c r="A10" s="67" t="s">
        <v>101</v>
      </c>
      <c r="B10" s="67"/>
      <c r="C10" s="67"/>
      <c r="D10" s="67"/>
      <c r="E10" s="67"/>
      <c r="I10" s="46"/>
    </row>
    <row r="11" spans="1:18" x14ac:dyDescent="0.3">
      <c r="A11" s="67" t="s">
        <v>102</v>
      </c>
      <c r="B11" s="67"/>
      <c r="C11" s="67"/>
      <c r="D11" s="67"/>
      <c r="E11" s="67"/>
      <c r="I11" s="46"/>
    </row>
    <row r="12" spans="1:18" x14ac:dyDescent="0.3">
      <c r="I12" s="46"/>
    </row>
    <row r="13" spans="1:18" x14ac:dyDescent="0.3">
      <c r="I13" s="46"/>
    </row>
    <row r="14" spans="1:18" x14ac:dyDescent="0.3">
      <c r="I14" s="46"/>
    </row>
    <row r="15" spans="1:18" x14ac:dyDescent="0.3">
      <c r="I15" s="46"/>
    </row>
    <row r="16" spans="1:18" ht="15" thickBot="1" x14ac:dyDescent="0.35">
      <c r="I16" s="46"/>
    </row>
    <row r="17" spans="1:12" ht="15" thickBot="1" x14ac:dyDescent="0.35">
      <c r="I17" s="46"/>
      <c r="L17" s="10" t="s">
        <v>52</v>
      </c>
    </row>
    <row r="18" spans="1:12" x14ac:dyDescent="0.3">
      <c r="I18" s="46"/>
      <c r="L18" t="s">
        <v>53</v>
      </c>
    </row>
    <row r="19" spans="1:12" x14ac:dyDescent="0.3">
      <c r="F19" s="44"/>
      <c r="I19" s="46"/>
      <c r="L19" t="s">
        <v>54</v>
      </c>
    </row>
    <row r="20" spans="1:12" x14ac:dyDescent="0.3">
      <c r="I20" s="46"/>
      <c r="L20" t="s">
        <v>55</v>
      </c>
    </row>
    <row r="21" spans="1:12" x14ac:dyDescent="0.3">
      <c r="A21" s="44"/>
      <c r="B21" s="44"/>
      <c r="I21" s="46"/>
      <c r="L21" t="s">
        <v>56</v>
      </c>
    </row>
    <row r="22" spans="1:12" x14ac:dyDescent="0.3">
      <c r="I22" s="46"/>
    </row>
  </sheetData>
  <mergeCells count="5">
    <mergeCell ref="A11:E11"/>
    <mergeCell ref="A10:E10"/>
    <mergeCell ref="A1:E2"/>
    <mergeCell ref="H1:J2"/>
    <mergeCell ref="A9:E9"/>
  </mergeCells>
  <dataValidations count="2">
    <dataValidation type="list" allowBlank="1" showInputMessage="1" showErrorMessage="1" sqref="M9" xr:uid="{28B1539E-6729-48C1-9BCE-A6639BD30327}">
      <formula1>$L$18:$L$21</formula1>
    </dataValidation>
    <dataValidation type="list" allowBlank="1" showInputMessage="1" showErrorMessage="1" sqref="N2" xr:uid="{CE930702-D77B-4375-9274-52FB8EC563B2}">
      <formula1>$Q$6:$Q$7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tart">
                <anchor moveWithCells="1" sizeWithCells="1">
                  <from>
                    <xdr:col>6</xdr:col>
                    <xdr:colOff>777240</xdr:colOff>
                    <xdr:row>3</xdr:row>
                    <xdr:rowOff>22860</xdr:rowOff>
                  </from>
                  <to>
                    <xdr:col>9</xdr:col>
                    <xdr:colOff>228600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A725-F0C3-45B0-8413-048FC18E70A9}">
  <sheetPr codeName="Tabelle1"/>
  <dimension ref="A1:S45"/>
  <sheetViews>
    <sheetView topLeftCell="A10" workbookViewId="0">
      <selection activeCell="O28" sqref="O28"/>
    </sheetView>
  </sheetViews>
  <sheetFormatPr baseColWidth="10" defaultRowHeight="14.4" x14ac:dyDescent="0.3"/>
  <cols>
    <col min="1" max="1" width="16.109375" bestFit="1" customWidth="1"/>
    <col min="15" max="16" width="20.21875" bestFit="1" customWidth="1"/>
    <col min="17" max="17" width="11.77734375" bestFit="1" customWidth="1"/>
  </cols>
  <sheetData>
    <row r="1" spans="1:19" ht="15" thickBot="1" x14ac:dyDescent="0.35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  <c r="N1" s="87" t="s">
        <v>76</v>
      </c>
      <c r="P1" s="10" t="s">
        <v>25</v>
      </c>
      <c r="Q1" s="19" t="s">
        <v>27</v>
      </c>
      <c r="R1" s="19" t="s">
        <v>28</v>
      </c>
      <c r="S1" s="20" t="s">
        <v>99</v>
      </c>
    </row>
    <row r="2" spans="1:19" ht="15" thickBot="1" x14ac:dyDescent="0.35">
      <c r="A2" s="6" t="s">
        <v>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17</v>
      </c>
      <c r="G2" s="6" t="s">
        <v>18</v>
      </c>
      <c r="H2" s="6" t="s">
        <v>19</v>
      </c>
      <c r="I2" s="6" t="s">
        <v>20</v>
      </c>
      <c r="J2" s="6" t="s">
        <v>21</v>
      </c>
      <c r="K2" s="6" t="s">
        <v>22</v>
      </c>
      <c r="L2" s="6" t="s">
        <v>23</v>
      </c>
      <c r="M2" s="6" t="s">
        <v>24</v>
      </c>
      <c r="N2" s="88"/>
      <c r="P2" s="11" t="s">
        <v>26</v>
      </c>
      <c r="Q2" s="9">
        <f>ROW(A4)</f>
        <v>4</v>
      </c>
      <c r="R2" s="9">
        <v>8</v>
      </c>
      <c r="S2" s="64">
        <f>ROW(A16) - 1</f>
        <v>15</v>
      </c>
    </row>
    <row r="3" spans="1:19" ht="15" thickBot="1" x14ac:dyDescent="0.35">
      <c r="A3" s="84" t="s">
        <v>5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  <c r="P3" s="13" t="s">
        <v>29</v>
      </c>
      <c r="Q3" s="9">
        <f>ROW(A17)</f>
        <v>17</v>
      </c>
      <c r="R3" s="65">
        <v>29</v>
      </c>
      <c r="S3" s="66">
        <f>ROW(A34) - 1</f>
        <v>33</v>
      </c>
    </row>
    <row r="4" spans="1:19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53">
        <f>SUM(B4:M4)</f>
        <v>0</v>
      </c>
      <c r="P4" s="13" t="s">
        <v>47</v>
      </c>
      <c r="Q4" s="9">
        <f>ROW(A35)</f>
        <v>35</v>
      </c>
      <c r="R4" s="18">
        <f>ROW(A39) -1</f>
        <v>38</v>
      </c>
      <c r="S4" s="66"/>
    </row>
    <row r="5" spans="1:19" ht="15" thickBo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4">
        <f t="shared" ref="N5:N15" si="0">SUM(B5:M5)</f>
        <v>0</v>
      </c>
      <c r="P5" s="14" t="s">
        <v>31</v>
      </c>
      <c r="Q5" s="15">
        <f>ROW(A40)</f>
        <v>40</v>
      </c>
      <c r="R5" s="15">
        <f>ROW(A42)</f>
        <v>42</v>
      </c>
      <c r="S5" s="16"/>
    </row>
    <row r="6" spans="1:19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4">
        <f t="shared" si="0"/>
        <v>0</v>
      </c>
    </row>
    <row r="7" spans="1:19" ht="15" thickBot="1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54">
        <f t="shared" si="0"/>
        <v>0</v>
      </c>
    </row>
    <row r="8" spans="1:19" ht="15" thickBo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4">
        <f t="shared" si="0"/>
        <v>0</v>
      </c>
      <c r="P8" s="77" t="s">
        <v>81</v>
      </c>
      <c r="Q8" s="78"/>
      <c r="R8" s="79"/>
    </row>
    <row r="9" spans="1:19" ht="15" thickBo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4">
        <f t="shared" si="0"/>
        <v>0</v>
      </c>
      <c r="P9" s="60" t="s">
        <v>83</v>
      </c>
      <c r="Q9" s="60" t="s">
        <v>82</v>
      </c>
      <c r="R9" s="59" t="s">
        <v>79</v>
      </c>
    </row>
    <row r="10" spans="1:19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4">
        <f t="shared" si="0"/>
        <v>0</v>
      </c>
      <c r="P10" s="18" t="str">
        <f>A40</f>
        <v>Tier 1</v>
      </c>
      <c r="Q10" s="9"/>
      <c r="R10" s="18">
        <f>SUM(B40:M40)</f>
        <v>0</v>
      </c>
    </row>
    <row r="11" spans="1:19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4">
        <f t="shared" si="0"/>
        <v>0</v>
      </c>
      <c r="P11" s="4" t="str">
        <f t="shared" ref="P11:P12" si="1">A41</f>
        <v>Tier 2</v>
      </c>
      <c r="Q11" s="3"/>
      <c r="R11" s="18">
        <f>SUM(B41:M41)</f>
        <v>0</v>
      </c>
    </row>
    <row r="12" spans="1:19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4">
        <f t="shared" si="0"/>
        <v>0</v>
      </c>
      <c r="P12" s="4" t="str">
        <f t="shared" si="1"/>
        <v>Rest Collector</v>
      </c>
      <c r="Q12" s="3"/>
      <c r="R12" s="4">
        <f>SUM(B42:M42)</f>
        <v>0</v>
      </c>
    </row>
    <row r="13" spans="1:19" ht="15" thickBot="1" x14ac:dyDescent="0.3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4">
        <f t="shared" si="0"/>
        <v>0</v>
      </c>
    </row>
    <row r="14" spans="1:19" ht="15" thickBot="1" x14ac:dyDescent="0.3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4">
        <f t="shared" si="0"/>
        <v>0</v>
      </c>
      <c r="P14" s="84" t="s">
        <v>85</v>
      </c>
      <c r="Q14" s="86"/>
    </row>
    <row r="15" spans="1:19" ht="15" thickBo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55">
        <f t="shared" si="0"/>
        <v>0</v>
      </c>
      <c r="P15" s="18" t="str">
        <f>A40</f>
        <v>Tier 1</v>
      </c>
      <c r="Q15" s="18">
        <f>Q10+R10</f>
        <v>0</v>
      </c>
    </row>
    <row r="16" spans="1:19" ht="15" thickBot="1" x14ac:dyDescent="0.35">
      <c r="A16" s="89" t="s">
        <v>1</v>
      </c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1"/>
      <c r="P16" s="4" t="str">
        <f>A41</f>
        <v>Tier 2</v>
      </c>
      <c r="Q16" s="4">
        <f t="shared" ref="Q16" si="2">Q11+R11</f>
        <v>0</v>
      </c>
    </row>
    <row r="17" spans="1:18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53">
        <f>SUM(B17:M17)</f>
        <v>0</v>
      </c>
      <c r="P17" s="4" t="s">
        <v>87</v>
      </c>
      <c r="Q17" s="4">
        <f>R31-SUM(Q15:Q16)</f>
        <v>0</v>
      </c>
    </row>
    <row r="18" spans="1:18" ht="15" thickBot="1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4">
        <f t="shared" ref="N18:N42" si="3">SUM(B18:M18)</f>
        <v>0</v>
      </c>
      <c r="P18" s="26"/>
      <c r="Q18" s="26"/>
    </row>
    <row r="19" spans="1:18" ht="15" thickBot="1" x14ac:dyDescent="0.3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4">
        <f t="shared" si="3"/>
        <v>0</v>
      </c>
      <c r="P19" s="22" t="s">
        <v>77</v>
      </c>
      <c r="Q19" s="8">
        <f>SUM(Q15:Q16)</f>
        <v>0</v>
      </c>
    </row>
    <row r="20" spans="1:18" ht="15" thickBot="1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4">
        <f t="shared" si="3"/>
        <v>0</v>
      </c>
      <c r="P20" s="22" t="s">
        <v>49</v>
      </c>
      <c r="Q20" s="8">
        <f>SUM(B37:M37)</f>
        <v>0</v>
      </c>
    </row>
    <row r="21" spans="1:18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4">
        <f t="shared" si="3"/>
        <v>0</v>
      </c>
    </row>
    <row r="22" spans="1:18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54">
        <f t="shared" si="3"/>
        <v>0</v>
      </c>
    </row>
    <row r="23" spans="1:18" ht="15" thickBo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54">
        <f t="shared" si="3"/>
        <v>0</v>
      </c>
    </row>
    <row r="24" spans="1:18" ht="15" thickBo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54">
        <f t="shared" si="3"/>
        <v>0</v>
      </c>
      <c r="P24" s="84" t="s">
        <v>84</v>
      </c>
      <c r="Q24" s="85"/>
      <c r="R24" s="86"/>
    </row>
    <row r="25" spans="1:18" ht="15" thickBo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54">
        <f t="shared" si="3"/>
        <v>0</v>
      </c>
      <c r="P25" s="59" t="s">
        <v>84</v>
      </c>
      <c r="Q25" s="59" t="s">
        <v>82</v>
      </c>
      <c r="R25" s="59" t="s">
        <v>80</v>
      </c>
    </row>
    <row r="26" spans="1:18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54">
        <f t="shared" si="3"/>
        <v>0</v>
      </c>
      <c r="P26" s="18" t="s">
        <v>51</v>
      </c>
      <c r="Q26" s="18">
        <v>0</v>
      </c>
      <c r="R26" s="9"/>
    </row>
    <row r="27" spans="1:18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54">
        <f t="shared" si="3"/>
        <v>0</v>
      </c>
      <c r="P27" s="4" t="s">
        <v>51</v>
      </c>
      <c r="Q27" s="4">
        <v>0</v>
      </c>
      <c r="R27" s="3"/>
    </row>
    <row r="28" spans="1:18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55">
        <f t="shared" si="3"/>
        <v>0</v>
      </c>
      <c r="P28" s="4" t="s">
        <v>51</v>
      </c>
      <c r="Q28" s="4">
        <v>0</v>
      </c>
      <c r="R28" s="3"/>
    </row>
    <row r="29" spans="1:18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55">
        <f t="shared" si="3"/>
        <v>0</v>
      </c>
    </row>
    <row r="30" spans="1:18" ht="15" thickBo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55">
        <f t="shared" si="3"/>
        <v>0</v>
      </c>
    </row>
    <row r="31" spans="1:18" ht="15" thickBo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55">
        <f t="shared" si="3"/>
        <v>0</v>
      </c>
      <c r="P31" s="22" t="s">
        <v>103</v>
      </c>
      <c r="Q31" s="8">
        <f>SUM(Q26:Q28)</f>
        <v>0</v>
      </c>
      <c r="R31" s="8">
        <f>SUM(R26:R28)</f>
        <v>0</v>
      </c>
    </row>
    <row r="32" spans="1:18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55">
        <f t="shared" si="3"/>
        <v>0</v>
      </c>
    </row>
    <row r="33" spans="1:17" ht="15" thickBo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55">
        <f t="shared" si="3"/>
        <v>0</v>
      </c>
    </row>
    <row r="34" spans="1:17" ht="15" thickBot="1" x14ac:dyDescent="0.35">
      <c r="A34" s="77" t="s">
        <v>46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9"/>
    </row>
    <row r="35" spans="1:17" x14ac:dyDescent="0.3">
      <c r="A35" s="18" t="s">
        <v>44</v>
      </c>
      <c r="B35" s="18">
        <f>SUM(B4:B15)</f>
        <v>0</v>
      </c>
      <c r="C35" s="18">
        <f t="shared" ref="C35:M35" si="4">SUM(C4:C15)</f>
        <v>0</v>
      </c>
      <c r="D35" s="18">
        <f t="shared" si="4"/>
        <v>0</v>
      </c>
      <c r="E35" s="18">
        <f t="shared" si="4"/>
        <v>0</v>
      </c>
      <c r="F35" s="18">
        <f t="shared" si="4"/>
        <v>0</v>
      </c>
      <c r="G35" s="18">
        <f t="shared" si="4"/>
        <v>0</v>
      </c>
      <c r="H35" s="18">
        <f t="shared" si="4"/>
        <v>0</v>
      </c>
      <c r="I35" s="18">
        <f t="shared" si="4"/>
        <v>0</v>
      </c>
      <c r="J35" s="18">
        <f t="shared" si="4"/>
        <v>0</v>
      </c>
      <c r="K35" s="18">
        <f t="shared" si="4"/>
        <v>0</v>
      </c>
      <c r="L35" s="18">
        <f t="shared" si="4"/>
        <v>0</v>
      </c>
      <c r="M35" s="18">
        <f t="shared" si="4"/>
        <v>0</v>
      </c>
      <c r="N35" s="55">
        <f t="shared" si="3"/>
        <v>0</v>
      </c>
    </row>
    <row r="36" spans="1:17" x14ac:dyDescent="0.3">
      <c r="A36" s="4" t="s">
        <v>45</v>
      </c>
      <c r="B36" s="4">
        <f>SUM(B17:B33)</f>
        <v>0</v>
      </c>
      <c r="C36" s="4">
        <f t="shared" ref="C36:M36" si="5">SUM(C17:C33)</f>
        <v>0</v>
      </c>
      <c r="D36" s="4">
        <f t="shared" si="5"/>
        <v>0</v>
      </c>
      <c r="E36" s="4">
        <f t="shared" si="5"/>
        <v>0</v>
      </c>
      <c r="F36" s="4">
        <f t="shared" si="5"/>
        <v>0</v>
      </c>
      <c r="G36" s="4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55">
        <f t="shared" si="3"/>
        <v>0</v>
      </c>
    </row>
    <row r="37" spans="1:17" x14ac:dyDescent="0.3">
      <c r="A37" s="18" t="s">
        <v>8</v>
      </c>
      <c r="B37" s="18">
        <f>B35+B36</f>
        <v>0</v>
      </c>
      <c r="C37" s="18">
        <f t="shared" ref="C37:M37" si="6">C35+C36</f>
        <v>0</v>
      </c>
      <c r="D37" s="18">
        <f t="shared" si="6"/>
        <v>0</v>
      </c>
      <c r="E37" s="18">
        <f t="shared" si="6"/>
        <v>0</v>
      </c>
      <c r="F37" s="18">
        <f t="shared" si="6"/>
        <v>0</v>
      </c>
      <c r="G37" s="18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55">
        <f t="shared" si="3"/>
        <v>0</v>
      </c>
      <c r="P37" s="5"/>
      <c r="Q37" s="5"/>
    </row>
    <row r="38" spans="1:17" ht="15" thickBo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55"/>
    </row>
    <row r="39" spans="1:17" ht="15" thickBot="1" x14ac:dyDescent="0.35">
      <c r="A39" s="77" t="s">
        <v>30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9"/>
      <c r="P39" s="26"/>
      <c r="Q39" s="26"/>
    </row>
    <row r="40" spans="1:17" x14ac:dyDescent="0.3">
      <c r="A40" s="4" t="str">
        <f>Nancyplan!A7</f>
        <v>Tier 1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55">
        <f t="shared" si="3"/>
        <v>0</v>
      </c>
      <c r="P40" s="56"/>
      <c r="Q40" s="56"/>
    </row>
    <row r="41" spans="1:17" x14ac:dyDescent="0.3">
      <c r="A41" s="4" t="str">
        <f>Nancyplan!A8</f>
        <v>Tier 2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55">
        <f t="shared" si="3"/>
        <v>0</v>
      </c>
      <c r="O41" s="5"/>
      <c r="P41" s="83"/>
      <c r="Q41" s="83"/>
    </row>
    <row r="42" spans="1:17" x14ac:dyDescent="0.3">
      <c r="A42" s="4" t="s">
        <v>78</v>
      </c>
      <c r="B42" s="4">
        <f>IF(B37-SUM(B40:B41) &gt; 0, B37-SUM(B40:B41), 0)</f>
        <v>0</v>
      </c>
      <c r="C42" s="4">
        <f t="shared" ref="C42:M42" si="7">IF(C37-SUM(C40:C41) &gt; 0, C37-SUM(C40:C41), 0)</f>
        <v>0</v>
      </c>
      <c r="D42" s="4">
        <f t="shared" si="7"/>
        <v>0</v>
      </c>
      <c r="E42" s="4">
        <f t="shared" si="7"/>
        <v>0</v>
      </c>
      <c r="F42" s="4">
        <f t="shared" si="7"/>
        <v>0</v>
      </c>
      <c r="G42" s="4">
        <f t="shared" si="7"/>
        <v>0</v>
      </c>
      <c r="H42" s="4">
        <f t="shared" si="7"/>
        <v>0</v>
      </c>
      <c r="I42" s="4">
        <f t="shared" si="7"/>
        <v>0</v>
      </c>
      <c r="J42" s="4">
        <f t="shared" si="7"/>
        <v>0</v>
      </c>
      <c r="K42" s="4">
        <f t="shared" si="7"/>
        <v>0</v>
      </c>
      <c r="L42" s="4">
        <f t="shared" si="7"/>
        <v>0</v>
      </c>
      <c r="M42" s="4">
        <f t="shared" si="7"/>
        <v>0</v>
      </c>
      <c r="N42" s="55">
        <f t="shared" si="3"/>
        <v>0</v>
      </c>
      <c r="O42" s="5"/>
      <c r="P42" s="26"/>
      <c r="Q42" s="26"/>
    </row>
    <row r="43" spans="1:17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5"/>
      <c r="O43" s="5"/>
      <c r="P43" s="26"/>
      <c r="Q43" s="26"/>
    </row>
    <row r="44" spans="1:17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54"/>
      <c r="O44" s="5"/>
      <c r="P44" s="26"/>
      <c r="Q44" s="26"/>
    </row>
    <row r="45" spans="1:17" x14ac:dyDescent="0.3">
      <c r="O45" s="5"/>
    </row>
  </sheetData>
  <mergeCells count="10">
    <mergeCell ref="A34:N34"/>
    <mergeCell ref="A39:N39"/>
    <mergeCell ref="A1:M1"/>
    <mergeCell ref="P41:Q41"/>
    <mergeCell ref="A3:N3"/>
    <mergeCell ref="N1:N2"/>
    <mergeCell ref="A16:N16"/>
    <mergeCell ref="P14:Q14"/>
    <mergeCell ref="P8:R8"/>
    <mergeCell ref="P24:R24"/>
  </mergeCells>
  <conditionalFormatting sqref="R2:R3">
    <cfRule type="expression" dxfId="38" priority="1">
      <formula>$P$1="Storage"</formula>
    </cfRule>
  </conditionalFormatting>
  <conditionalFormatting sqref="Q2:Q3 S2:S3 Q4:S5">
    <cfRule type="expression" dxfId="37" priority="2">
      <formula>$P$1="Storage"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24039C87-8E4D-4673-B45D-4F4F51C359B5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57" id="{3FF93E08-C7D2-4BD4-830E-F8EDBD644151}">
            <xm:f>LemonTree!$M$9="Pounds"</xm:f>
            <x14:dxf>
              <numFmt numFmtId="165" formatCode="[$£-809]#,##0.00;[Red]\-[$£-809]#,##0.00"/>
            </x14:dxf>
          </x14:cfRule>
          <x14:cfRule type="expression" priority="58" id="{8DCC8BAF-FC1D-47AA-A75F-C2CC72746E9C}">
            <xm:f>LemonTree!$M$9="Dollar"</xm:f>
            <x14:dxf>
              <numFmt numFmtId="166" formatCode="[$$-409]#,##0.00_ ;[Red]\-[$$-409]#,##0.00\ "/>
            </x14:dxf>
          </x14:cfRule>
          <x14:cfRule type="expression" priority="59" id="{85DDB220-542E-4D19-9AB8-4046748E543E}">
            <xm:f>LemonTree!$M$9="Rupiah"</xm:f>
            <x14:dxf>
              <numFmt numFmtId="167" formatCode="[$Rp-421]#,##0.00;[Red]\-[$Rp-421]#,##0.00"/>
            </x14:dxf>
          </x14:cfRule>
          <xm:sqref>A1:N34 A37:N41 A35:A36 N35:N36 A43:N44 A42 N42</xm:sqref>
        </x14:conditionalFormatting>
        <x14:conditionalFormatting xmlns:xm="http://schemas.microsoft.com/office/excel/2006/main">
          <x14:cfRule type="expression" priority="15" id="{EFA4BD3C-7BC3-4272-A39E-EC00F2F1AEC6}">
            <xm:f>LemonTree!$M$9="Rupiah"</xm:f>
            <x14:dxf>
              <numFmt numFmtId="167" formatCode="[$Rp-421]#,##0.00;[Red]\-[$Rp-421]#,##0.00"/>
            </x14:dxf>
          </x14:cfRule>
          <x14:cfRule type="expression" priority="16" id="{FE97A156-AC16-4869-BCF4-8E9A70C9689E}">
            <xm:f>LemonTree!$M$9="Dollar"</xm:f>
            <x14:dxf>
              <numFmt numFmtId="166" formatCode="[$$-409]#,##0.00_ ;[Red]\-[$$-409]#,##0.00\ "/>
            </x14:dxf>
          </x14:cfRule>
          <x14:cfRule type="expression" priority="17" id="{AE7D9259-4507-417D-B83D-B08F46F72216}">
            <xm:f>LemonTree!$M$9="Pounds"</xm:f>
            <x14:dxf>
              <numFmt numFmtId="165" formatCode="[$£-809]#,##0.00;[Red]\-[$£-809]#,##0.00"/>
            </x14:dxf>
          </x14:cfRule>
          <x14:cfRule type="expression" priority="18" id="{5D76B2F5-4897-4427-95B5-236B21E7AF63}">
            <xm:f>LemonTree!$M$9="Euro"</xm:f>
            <x14:dxf>
              <numFmt numFmtId="12" formatCode="#,##0.00\ &quot;€&quot;;[Red]\-#,##0.00\ &quot;€&quot;"/>
            </x14:dxf>
          </x14:cfRule>
          <xm:sqref>P8:R16 P18:R44 Q17:R17</xm:sqref>
        </x14:conditionalFormatting>
        <x14:conditionalFormatting xmlns:xm="http://schemas.microsoft.com/office/excel/2006/main">
          <x14:cfRule type="expression" priority="11" id="{511946A9-CFC2-4863-8734-B2631EA2DC6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12" id="{0DF2E078-DCD4-45AB-8FBA-BC2976A0BC95}">
            <xm:f>LemonTree!$M$9="Pounds"</xm:f>
            <x14:dxf>
              <numFmt numFmtId="165" formatCode="[$£-809]#,##0.00;[Red]\-[$£-809]#,##0.00"/>
            </x14:dxf>
          </x14:cfRule>
          <x14:cfRule type="expression" priority="13" id="{6D1D5CE8-347B-4FD9-8F5D-22DE11F47E87}">
            <xm:f>LemonTree!$M$9="Dollar"</xm:f>
            <x14:dxf>
              <numFmt numFmtId="166" formatCode="[$$-409]#,##0.00_ ;[Red]\-[$$-409]#,##0.00\ "/>
            </x14:dxf>
          </x14:cfRule>
          <x14:cfRule type="expression" priority="14" id="{3B0F325B-F363-44DF-85DF-AEFA0FCB7E44}">
            <xm:f>LemonTree!$M$9="Rupiah"</xm:f>
            <x14:dxf>
              <numFmt numFmtId="167" formatCode="[$Rp-421]#,##0.00;[Red]\-[$Rp-421]#,##0.00"/>
            </x14:dxf>
          </x14:cfRule>
          <xm:sqref>B35:M36</xm:sqref>
        </x14:conditionalFormatting>
        <x14:conditionalFormatting xmlns:xm="http://schemas.microsoft.com/office/excel/2006/main">
          <x14:cfRule type="expression" priority="7" id="{D423ED43-4B3E-4D19-BBCE-E719D831DE3A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8" id="{1BD52DE2-4822-4E67-BB29-B376424585F7}">
            <xm:f>LemonTree!$M$9="Pounds"</xm:f>
            <x14:dxf>
              <numFmt numFmtId="165" formatCode="[$£-809]#,##0.00;[Red]\-[$£-809]#,##0.00"/>
            </x14:dxf>
          </x14:cfRule>
          <x14:cfRule type="expression" priority="9" id="{A2C90050-1549-4812-A6AF-B02970C81DCB}">
            <xm:f>LemonTree!$M$9="Dollar"</xm:f>
            <x14:dxf>
              <numFmt numFmtId="166" formatCode="[$$-409]#,##0.00_ ;[Red]\-[$$-409]#,##0.00\ "/>
            </x14:dxf>
          </x14:cfRule>
          <x14:cfRule type="expression" priority="10" id="{1248C888-6855-4E78-AFC8-12DA4582BE51}">
            <xm:f>LemonTree!$M$9="Rupiah"</xm:f>
            <x14:dxf>
              <numFmt numFmtId="167" formatCode="[$Rp-421]#,##0.00;[Red]\-[$Rp-421]#,##0.00"/>
            </x14:dxf>
          </x14:cfRule>
          <xm:sqref>P17</xm:sqref>
        </x14:conditionalFormatting>
        <x14:conditionalFormatting xmlns:xm="http://schemas.microsoft.com/office/excel/2006/main">
          <x14:cfRule type="expression" priority="3" id="{9F783305-73CA-4BF5-8D54-EB46691FA7D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54D64F7C-11CB-464E-ACA0-D018BE1F330F}">
            <xm:f>LemonTree!$M$9="Pounds"</xm:f>
            <x14:dxf>
              <numFmt numFmtId="165" formatCode="[$£-809]#,##0.00;[Red]\-[$£-809]#,##0.00"/>
            </x14:dxf>
          </x14:cfRule>
          <x14:cfRule type="expression" priority="5" id="{21D3ED7E-5272-4861-AE03-6B37D9FE39B9}">
            <xm:f>LemonTree!$M$9="Dollar"</xm:f>
            <x14:dxf>
              <numFmt numFmtId="166" formatCode="[$$-409]#,##0.00_ ;[Red]\-[$$-409]#,##0.00\ "/>
            </x14:dxf>
          </x14:cfRule>
          <x14:cfRule type="expression" priority="6" id="{7C5C677B-BCAD-4DEA-9E04-4B0FA740A161}">
            <xm:f>LemonTree!$M$9="Rupiah"</xm:f>
            <x14:dxf>
              <numFmt numFmtId="167" formatCode="[$Rp-421]#,##0.00;[Red]\-[$Rp-421]#,##0.00"/>
            </x14:dxf>
          </x14:cfRule>
          <xm:sqref>B42:M42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8515-DCBD-44FC-9AFB-4F27A09DB940}">
  <sheetPr codeName="Tabelle2"/>
  <dimension ref="A1:P7"/>
  <sheetViews>
    <sheetView topLeftCell="A42" workbookViewId="0">
      <selection activeCell="E25" sqref="E25"/>
    </sheetView>
  </sheetViews>
  <sheetFormatPr baseColWidth="10" defaultRowHeight="14.4" x14ac:dyDescent="0.3"/>
  <cols>
    <col min="1" max="1" width="11.5546875" style="3"/>
    <col min="2" max="3" width="11.5546875" style="4"/>
    <col min="4" max="5" width="11.5546875" style="3"/>
    <col min="6" max="6" width="13" style="34" bestFit="1" customWidth="1"/>
    <col min="7" max="7" width="13.6640625" style="3" bestFit="1" customWidth="1"/>
    <col min="8" max="8" width="13.6640625" style="50" bestFit="1" customWidth="1"/>
    <col min="9" max="9" width="13.6640625" style="3" bestFit="1" customWidth="1"/>
    <col min="12" max="12" width="13.44140625" bestFit="1" customWidth="1"/>
    <col min="15" max="15" width="14.109375" bestFit="1" customWidth="1"/>
  </cols>
  <sheetData>
    <row r="1" spans="1:16" ht="15" thickBot="1" x14ac:dyDescent="0.35">
      <c r="A1" s="92" t="s">
        <v>4</v>
      </c>
      <c r="B1" s="94" t="s">
        <v>33</v>
      </c>
      <c r="C1" s="94" t="s">
        <v>34</v>
      </c>
      <c r="D1" s="92" t="s">
        <v>35</v>
      </c>
      <c r="E1" s="92" t="s">
        <v>2</v>
      </c>
      <c r="F1" s="96" t="s">
        <v>48</v>
      </c>
      <c r="G1" s="77" t="s">
        <v>42</v>
      </c>
      <c r="H1" s="78"/>
      <c r="I1" s="79"/>
      <c r="L1" s="10" t="s">
        <v>25</v>
      </c>
      <c r="M1" s="17"/>
      <c r="O1" s="84" t="s">
        <v>43</v>
      </c>
      <c r="P1" s="86"/>
    </row>
    <row r="2" spans="1:16" ht="15" thickBot="1" x14ac:dyDescent="0.35">
      <c r="A2" s="93"/>
      <c r="B2" s="95"/>
      <c r="C2" s="95"/>
      <c r="D2" s="93"/>
      <c r="E2" s="93"/>
      <c r="F2" s="97"/>
      <c r="G2" s="51" t="str">
        <f>O2</f>
        <v>Bank_Template</v>
      </c>
      <c r="H2" s="52" t="str">
        <f>O3</f>
        <v>Bank_Template</v>
      </c>
      <c r="I2" s="10" t="str">
        <f>O4</f>
        <v>Bank_Template</v>
      </c>
      <c r="L2" s="11" t="s">
        <v>40</v>
      </c>
      <c r="M2" s="12">
        <v>3</v>
      </c>
      <c r="O2" s="21" t="s">
        <v>51</v>
      </c>
      <c r="P2" s="23"/>
    </row>
    <row r="3" spans="1:16" x14ac:dyDescent="0.3">
      <c r="A3" s="9"/>
      <c r="B3" s="18"/>
      <c r="C3" s="18"/>
      <c r="D3" s="9"/>
      <c r="E3" s="9"/>
      <c r="F3" s="33"/>
      <c r="G3" s="9"/>
      <c r="H3" s="49"/>
      <c r="I3" s="9"/>
      <c r="L3" s="13" t="s">
        <v>36</v>
      </c>
      <c r="M3" s="12">
        <v>6</v>
      </c>
      <c r="O3" s="11" t="s">
        <v>51</v>
      </c>
      <c r="P3" s="24"/>
    </row>
    <row r="4" spans="1:16" ht="15" thickBot="1" x14ac:dyDescent="0.35">
      <c r="L4" s="31" t="s">
        <v>61</v>
      </c>
      <c r="M4" s="32">
        <v>4</v>
      </c>
      <c r="O4" s="14" t="s">
        <v>51</v>
      </c>
      <c r="P4" s="28"/>
    </row>
    <row r="5" spans="1:16" ht="15" thickBot="1" x14ac:dyDescent="0.35">
      <c r="O5" s="27"/>
      <c r="P5" s="26"/>
    </row>
    <row r="6" spans="1:16" ht="15" thickBot="1" x14ac:dyDescent="0.35">
      <c r="L6" s="1" t="s">
        <v>37</v>
      </c>
      <c r="M6" s="2" t="s">
        <v>39</v>
      </c>
      <c r="P6" s="5"/>
    </row>
    <row r="7" spans="1:16" x14ac:dyDescent="0.3">
      <c r="P7" s="5"/>
    </row>
  </sheetData>
  <mergeCells count="8">
    <mergeCell ref="O1:P1"/>
    <mergeCell ref="G1:I1"/>
    <mergeCell ref="A1:A2"/>
    <mergeCell ref="B1:B2"/>
    <mergeCell ref="C1:C2"/>
    <mergeCell ref="D1:D2"/>
    <mergeCell ref="E1:E2"/>
    <mergeCell ref="F1:F2"/>
  </mergeCells>
  <conditionalFormatting sqref="A1:A1048576">
    <cfRule type="expression" dxfId="16" priority="2">
      <formula>$A$1="Date"</formula>
    </cfRule>
  </conditionalFormatting>
  <conditionalFormatting sqref="M2:M4">
    <cfRule type="expression" dxfId="15" priority="1">
      <formula>$L$1="Storage"</formula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C3DB61-60AC-45AD-A6A5-3CD5CCB7DD7C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C6CF967A-AF28-4614-AA91-32ECE04E6133}">
            <xm:f>LemonTree!$M$9="Pounds"</xm:f>
            <x14:dxf>
              <numFmt numFmtId="165" formatCode="[$£-809]#,##0.00;[Red]\-[$£-809]#,##0.00"/>
            </x14:dxf>
          </x14:cfRule>
          <x14:cfRule type="expression" priority="5" id="{A6DB2D4B-8A96-49AB-BD21-49EE1B9AB8F3}">
            <xm:f>LemonTree!$M$9="Rupiah"</xm:f>
            <x14:dxf>
              <numFmt numFmtId="167" formatCode="[$Rp-421]#,##0.00;[Red]\-[$Rp-421]#,##0.00"/>
            </x14:dxf>
          </x14:cfRule>
          <x14:cfRule type="expression" priority="6" id="{3C227DCB-FE0E-44A6-BD2E-19632EEA684C}">
            <xm:f>LemonTree!$M$9="Dollar"</xm:f>
            <x14:dxf>
              <numFmt numFmtId="166" formatCode="[$$-409]#,##0.00_ ;[Red]\-[$$-409]#,##0.00\ "/>
            </x14:dxf>
          </x14:cfRule>
          <xm:sqref>A1:E2 A3:XFD14 A17:XFD1048576 A15:L16 P15:XFD16 G2:XFD2 G1 J1:XFD1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AEB0D-1C91-4929-9831-85489AD4AAB5}">
  <sheetPr codeName="Tabelle3"/>
  <dimension ref="A1:F13"/>
  <sheetViews>
    <sheetView workbookViewId="0">
      <selection activeCell="B3" sqref="B3"/>
    </sheetView>
  </sheetViews>
  <sheetFormatPr baseColWidth="10" defaultRowHeight="14.4" x14ac:dyDescent="0.3"/>
  <cols>
    <col min="1" max="1" width="20.77734375" bestFit="1" customWidth="1"/>
    <col min="2" max="2" width="7.88671875" style="5" bestFit="1" customWidth="1"/>
    <col min="3" max="3" width="11.44140625" bestFit="1" customWidth="1"/>
    <col min="4" max="4" width="8.5546875" bestFit="1" customWidth="1"/>
    <col min="5" max="5" width="6" bestFit="1" customWidth="1"/>
    <col min="6" max="6" width="9" bestFit="1" customWidth="1"/>
    <col min="13" max="13" width="17.109375" bestFit="1" customWidth="1"/>
  </cols>
  <sheetData>
    <row r="1" spans="1:6" ht="15" thickBot="1" x14ac:dyDescent="0.35">
      <c r="A1" s="84" t="s">
        <v>41</v>
      </c>
      <c r="B1" s="85"/>
      <c r="C1" s="85"/>
      <c r="D1" s="85"/>
      <c r="E1" s="85"/>
      <c r="F1" s="86"/>
    </row>
    <row r="2" spans="1:6" x14ac:dyDescent="0.3">
      <c r="A2" s="9" t="s">
        <v>1</v>
      </c>
      <c r="B2" s="18" t="s">
        <v>3</v>
      </c>
      <c r="C2" s="9" t="s">
        <v>2</v>
      </c>
      <c r="D2" s="9" t="s">
        <v>12</v>
      </c>
      <c r="E2" s="25" t="s">
        <v>38</v>
      </c>
      <c r="F2" s="9" t="s">
        <v>48</v>
      </c>
    </row>
    <row r="3" spans="1:6" x14ac:dyDescent="0.3">
      <c r="F3" s="56"/>
    </row>
    <row r="4" spans="1:6" x14ac:dyDescent="0.3">
      <c r="F4" s="56"/>
    </row>
    <row r="5" spans="1:6" x14ac:dyDescent="0.3">
      <c r="F5" s="56"/>
    </row>
    <row r="6" spans="1:6" x14ac:dyDescent="0.3">
      <c r="F6" s="56"/>
    </row>
    <row r="7" spans="1:6" x14ac:dyDescent="0.3">
      <c r="F7" s="56"/>
    </row>
    <row r="8" spans="1:6" x14ac:dyDescent="0.3">
      <c r="F8" s="56"/>
    </row>
    <row r="9" spans="1:6" x14ac:dyDescent="0.3">
      <c r="F9" s="56"/>
    </row>
    <row r="10" spans="1:6" x14ac:dyDescent="0.3">
      <c r="F10" s="56"/>
    </row>
    <row r="11" spans="1:6" x14ac:dyDescent="0.3">
      <c r="F11" s="56"/>
    </row>
    <row r="12" spans="1:6" x14ac:dyDescent="0.3">
      <c r="F12" s="56"/>
    </row>
    <row r="13" spans="1:6" x14ac:dyDescent="0.3">
      <c r="F13" s="56"/>
    </row>
  </sheetData>
  <sortState xmlns:xlrd2="http://schemas.microsoft.com/office/spreadsheetml/2017/richdata2" ref="A3:F3">
    <sortCondition ref="E3"/>
    <sortCondition ref="D3"/>
  </sortState>
  <mergeCells count="1">
    <mergeCell ref="A1:F1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A139342A-4CEA-437E-B2FD-245286A24036}">
            <xm:f>LemonTree!$M$9="Rupiah"</xm:f>
            <x14:dxf>
              <numFmt numFmtId="167" formatCode="[$Rp-421]#,##0.00;[Red]\-[$Rp-421]#,##0.00"/>
            </x14:dxf>
          </x14:cfRule>
          <x14:cfRule type="expression" priority="21" id="{298F15FD-EBB3-4F3A-B623-B961FA85DEE1}">
            <xm:f>LemonTree!$M$9="Dollar"</xm:f>
            <x14:dxf>
              <numFmt numFmtId="166" formatCode="[$$-409]#,##0.00_ ;[Red]\-[$$-409]#,##0.00\ "/>
            </x14:dxf>
          </x14:cfRule>
          <x14:cfRule type="expression" priority="22" id="{C0163AC6-4B82-4A34-BB15-49C80E43CEB6}">
            <xm:f>LemonTree!$M$9="Pounds"</xm:f>
            <x14:dxf>
              <numFmt numFmtId="165" formatCode="[$£-809]#,##0.00;[Red]\-[$£-809]#,##0.00"/>
            </x14:dxf>
          </x14:cfRule>
          <x14:cfRule type="expression" priority="23" id="{1F601BF2-E412-423D-9F5E-5449154108F1}">
            <xm:f>LemonTree!$M$9="Euro"</xm:f>
            <x14:dxf>
              <numFmt numFmtId="12" formatCode="#,##0.00\ &quot;€&quot;;[Red]\-#,##0.00\ &quot;€&quot;"/>
            </x14:dxf>
          </x14:cfRule>
          <xm:sqref>B3:B1048576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953A-618B-4E3B-8A3C-9A4C8F613204}">
  <sheetPr codeName="Tabelle4"/>
  <dimension ref="A1:Z29"/>
  <sheetViews>
    <sheetView tabSelected="1" workbookViewId="0">
      <selection activeCell="A9" sqref="A9"/>
    </sheetView>
  </sheetViews>
  <sheetFormatPr baseColWidth="10" defaultRowHeight="14.4" x14ac:dyDescent="0.3"/>
  <cols>
    <col min="1" max="1" width="20" bestFit="1" customWidth="1"/>
    <col min="2" max="2" width="18.33203125" style="5" customWidth="1"/>
    <col min="4" max="4" width="12.21875" customWidth="1"/>
    <col min="7" max="7" width="13.109375" bestFit="1" customWidth="1"/>
    <col min="8" max="8" width="23.21875" style="5" customWidth="1"/>
    <col min="10" max="10" width="13" bestFit="1" customWidth="1"/>
    <col min="11" max="11" width="11.5546875" style="5"/>
    <col min="13" max="13" width="20.44140625" customWidth="1"/>
    <col min="14" max="14" width="12.109375" bestFit="1" customWidth="1"/>
    <col min="16" max="16" width="15.88671875" bestFit="1" customWidth="1"/>
  </cols>
  <sheetData>
    <row r="1" spans="1:26" ht="15" thickBot="1" x14ac:dyDescent="0.35">
      <c r="A1" s="3" t="s">
        <v>5</v>
      </c>
      <c r="B1" s="4">
        <v>100</v>
      </c>
      <c r="E1" s="38" t="s">
        <v>104</v>
      </c>
      <c r="G1" s="76" t="s">
        <v>6</v>
      </c>
      <c r="H1" s="76"/>
      <c r="J1" s="99" t="s">
        <v>11</v>
      </c>
      <c r="K1" s="100"/>
      <c r="L1" s="100"/>
      <c r="M1" s="101"/>
      <c r="N1" s="5">
        <f>SUM(M:M)</f>
        <v>102</v>
      </c>
      <c r="P1" s="98"/>
      <c r="Q1" s="98"/>
      <c r="R1" s="98"/>
      <c r="S1" s="98"/>
      <c r="T1" s="5"/>
      <c r="V1" s="98"/>
      <c r="W1" s="98"/>
      <c r="X1" s="98"/>
      <c r="Y1" s="98"/>
      <c r="Z1" s="5"/>
    </row>
    <row r="2" spans="1:26" ht="15" thickBot="1" x14ac:dyDescent="0.35">
      <c r="A2" s="6" t="s">
        <v>1</v>
      </c>
      <c r="B2" s="7">
        <f>SUM(H:H)</f>
        <v>78.5</v>
      </c>
      <c r="E2" s="38" t="s">
        <v>105</v>
      </c>
      <c r="G2" s="3" t="s">
        <v>2</v>
      </c>
      <c r="H2" s="4" t="s">
        <v>7</v>
      </c>
      <c r="J2" t="s">
        <v>88</v>
      </c>
      <c r="K2" s="5">
        <v>5</v>
      </c>
      <c r="L2">
        <v>12</v>
      </c>
      <c r="M2" s="5">
        <f>K2*L2</f>
        <v>60</v>
      </c>
      <c r="Q2" s="5"/>
      <c r="S2" s="5"/>
      <c r="W2" s="5"/>
      <c r="Y2" s="5"/>
    </row>
    <row r="3" spans="1:26" ht="15" thickBot="1" x14ac:dyDescent="0.35">
      <c r="A3" s="1" t="s">
        <v>8</v>
      </c>
      <c r="B3" s="8">
        <f>B1-B2</f>
        <v>21.5</v>
      </c>
      <c r="J3" t="s">
        <v>89</v>
      </c>
      <c r="K3" s="5">
        <v>7</v>
      </c>
      <c r="L3">
        <v>6</v>
      </c>
      <c r="M3" s="5">
        <f t="shared" ref="M3" si="0">K3*L3</f>
        <v>42</v>
      </c>
      <c r="Q3" s="5"/>
      <c r="S3" s="5"/>
      <c r="W3" s="5"/>
      <c r="Y3" s="5"/>
    </row>
    <row r="4" spans="1:26" x14ac:dyDescent="0.3">
      <c r="D4" t="s">
        <v>86</v>
      </c>
      <c r="G4" t="s">
        <v>90</v>
      </c>
      <c r="H4" s="5">
        <v>0</v>
      </c>
      <c r="M4" s="5"/>
      <c r="Q4" s="5"/>
      <c r="S4" s="5"/>
      <c r="W4" s="5"/>
      <c r="Y4" s="5"/>
    </row>
    <row r="5" spans="1:26" x14ac:dyDescent="0.3">
      <c r="D5" t="s">
        <v>105</v>
      </c>
      <c r="G5" t="s">
        <v>91</v>
      </c>
      <c r="H5" s="5">
        <v>0</v>
      </c>
      <c r="M5" s="5"/>
      <c r="Q5" s="5"/>
      <c r="S5" s="5"/>
      <c r="W5" s="5"/>
      <c r="Y5" s="5"/>
    </row>
    <row r="6" spans="1:26" x14ac:dyDescent="0.3">
      <c r="A6" s="3" t="s">
        <v>2</v>
      </c>
      <c r="B6" s="4" t="s">
        <v>32</v>
      </c>
      <c r="C6" s="3" t="s">
        <v>9</v>
      </c>
      <c r="G6" t="s">
        <v>92</v>
      </c>
      <c r="H6" s="5">
        <v>0</v>
      </c>
      <c r="M6" s="5"/>
      <c r="Q6" s="5"/>
      <c r="S6" s="5"/>
      <c r="W6" s="5"/>
      <c r="Y6" s="5"/>
    </row>
    <row r="7" spans="1:26" x14ac:dyDescent="0.3">
      <c r="A7" s="3" t="s">
        <v>106</v>
      </c>
      <c r="B7" s="4">
        <f>C7*B3/100</f>
        <v>10.75</v>
      </c>
      <c r="C7" s="3">
        <v>50</v>
      </c>
      <c r="G7" t="s">
        <v>93</v>
      </c>
      <c r="H7" s="5">
        <v>0</v>
      </c>
    </row>
    <row r="8" spans="1:26" x14ac:dyDescent="0.3">
      <c r="A8" s="3" t="s">
        <v>107</v>
      </c>
      <c r="B8" s="7">
        <f>C8*B3/100</f>
        <v>10.75</v>
      </c>
      <c r="C8" s="6">
        <v>50</v>
      </c>
      <c r="G8" t="s">
        <v>94</v>
      </c>
      <c r="H8" s="5">
        <f>SUM(B26:B27)</f>
        <v>70</v>
      </c>
    </row>
    <row r="9" spans="1:26" x14ac:dyDescent="0.3">
      <c r="A9" s="57"/>
      <c r="B9" s="58"/>
      <c r="C9" s="57"/>
      <c r="G9" t="s">
        <v>10</v>
      </c>
      <c r="H9" s="5">
        <f>N1/12</f>
        <v>8.5</v>
      </c>
    </row>
    <row r="11" spans="1:26" x14ac:dyDescent="0.3">
      <c r="G11" t="s">
        <v>95</v>
      </c>
      <c r="H11" s="5">
        <f>E16/12</f>
        <v>0</v>
      </c>
    </row>
    <row r="12" spans="1:26" x14ac:dyDescent="0.3">
      <c r="A12" s="61" t="str">
        <f>_xlfn.CONCAT("Yearly"," ",A7)</f>
        <v>Yearly Tier 1</v>
      </c>
      <c r="B12" s="4">
        <f>B7*12</f>
        <v>129</v>
      </c>
    </row>
    <row r="13" spans="1:26" x14ac:dyDescent="0.3">
      <c r="A13" s="62" t="str">
        <f>_xlfn.CONCAT("Yearly"," ",A8)</f>
        <v>Yearly Tier 2</v>
      </c>
      <c r="B13" s="7">
        <f t="shared" ref="B13" si="1">B8*12</f>
        <v>129</v>
      </c>
    </row>
    <row r="14" spans="1:26" x14ac:dyDescent="0.3">
      <c r="A14" s="63"/>
      <c r="B14" s="58"/>
    </row>
    <row r="15" spans="1:26" ht="15" thickBot="1" x14ac:dyDescent="0.35"/>
    <row r="16" spans="1:26" ht="15" thickBot="1" x14ac:dyDescent="0.35">
      <c r="A16" s="99" t="s">
        <v>96</v>
      </c>
      <c r="B16" s="100"/>
      <c r="C16" s="100"/>
      <c r="D16" s="101"/>
      <c r="E16" s="5">
        <f>SUM(D17:D23)</f>
        <v>0</v>
      </c>
    </row>
    <row r="17" spans="1:5" x14ac:dyDescent="0.3">
      <c r="A17" t="s">
        <v>97</v>
      </c>
      <c r="B17" s="5">
        <v>0</v>
      </c>
      <c r="C17">
        <v>0</v>
      </c>
      <c r="D17" s="5">
        <f>B17*C17</f>
        <v>0</v>
      </c>
    </row>
    <row r="18" spans="1:5" x14ac:dyDescent="0.3">
      <c r="D18" s="5">
        <f t="shared" ref="D18:D20" si="2">B18*C18</f>
        <v>0</v>
      </c>
    </row>
    <row r="19" spans="1:5" x14ac:dyDescent="0.3">
      <c r="D19" s="5">
        <f t="shared" si="2"/>
        <v>0</v>
      </c>
    </row>
    <row r="20" spans="1:5" x14ac:dyDescent="0.3">
      <c r="D20" s="5">
        <f t="shared" si="2"/>
        <v>0</v>
      </c>
    </row>
    <row r="21" spans="1:5" x14ac:dyDescent="0.3">
      <c r="D21" s="5"/>
    </row>
    <row r="24" spans="1:5" ht="15" thickBot="1" x14ac:dyDescent="0.35"/>
    <row r="25" spans="1:5" ht="15" thickBot="1" x14ac:dyDescent="0.35">
      <c r="A25" s="84" t="s">
        <v>50</v>
      </c>
      <c r="B25" s="86"/>
      <c r="E25" s="5"/>
    </row>
    <row r="26" spans="1:5" x14ac:dyDescent="0.3">
      <c r="A26" t="s">
        <v>98</v>
      </c>
      <c r="B26" s="5">
        <v>70</v>
      </c>
      <c r="D26" s="5"/>
    </row>
    <row r="27" spans="1:5" x14ac:dyDescent="0.3">
      <c r="D27" s="5"/>
    </row>
    <row r="28" spans="1:5" x14ac:dyDescent="0.3">
      <c r="D28" s="5"/>
    </row>
    <row r="29" spans="1:5" x14ac:dyDescent="0.3">
      <c r="D29" s="5"/>
    </row>
  </sheetData>
  <mergeCells count="6">
    <mergeCell ref="V1:Y1"/>
    <mergeCell ref="A25:B25"/>
    <mergeCell ref="G1:H1"/>
    <mergeCell ref="J1:M1"/>
    <mergeCell ref="A16:D16"/>
    <mergeCell ref="P1:S1"/>
  </mergeCells>
  <phoneticPr fontId="2" type="noConversion"/>
  <conditionalFormatting sqref="L1:L11">
    <cfRule type="expression" dxfId="6" priority="3">
      <formula>$C$6="Percentage"</formula>
    </cfRule>
  </conditionalFormatting>
  <conditionalFormatting sqref="C16:C26">
    <cfRule type="expression" dxfId="5" priority="2">
      <formula>$C$6="Percentage"</formula>
    </cfRule>
  </conditionalFormatting>
  <conditionalFormatting sqref="C7:C8">
    <cfRule type="expression" dxfId="4" priority="1">
      <formula>$C$6="Percentage"</formula>
    </cfRule>
  </conditionalFormatting>
  <dataValidations count="1">
    <dataValidation type="list" allowBlank="1" showInputMessage="1" showErrorMessage="1" sqref="D5" xr:uid="{1D176C21-37A8-4802-A57A-7FCBFBA1B57A}">
      <formula1>$E$1:$E$2</formula1>
    </dataValidation>
  </dataValidations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E7CA4F18-151C-470A-9BBB-090EDD066407}">
            <xm:f>LemonTree!$M$9="Rupiah"</xm:f>
            <x14:dxf>
              <numFmt numFmtId="167" formatCode="[$Rp-421]#,##0.00;[Red]\-[$Rp-421]#,##0.00"/>
            </x14:dxf>
          </x14:cfRule>
          <x14:cfRule type="expression" priority="39" id="{C2B22459-26FC-4361-85FA-243EA2AB599A}">
            <xm:f>LemonTree!$M$9="Dollar"</xm:f>
            <x14:dxf>
              <numFmt numFmtId="166" formatCode="[$$-409]#,##0.00_ ;[Red]\-[$$-409]#,##0.00\ "/>
            </x14:dxf>
          </x14:cfRule>
          <x14:cfRule type="expression" priority="40" id="{FAF32BE4-A2EB-4A5D-ADBA-7BEA98C4977F}">
            <xm:f>LemonTree!$M$9="Pounds"</xm:f>
            <x14:dxf>
              <numFmt numFmtId="165" formatCode="[$£-809]#,##0.00;[Red]\-[$£-809]#,##0.00"/>
            </x14:dxf>
          </x14:cfRule>
          <x14:cfRule type="expression" priority="41" id="{F6864A5C-BF9E-4FD3-8D1F-C62B42EA0047}">
            <xm:f>LemonTree!$M$9="Euro"</xm:f>
            <x14:dxf>
              <numFmt numFmtId="12" formatCode="#,##0.00\ &quot;€&quot;;[Red]\-#,##0.00\ &quot;€&quot;"/>
            </x14:dxf>
          </x14:cfRule>
          <xm:sqref>A1:N56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LemonTree</vt:lpstr>
      <vt:lpstr>Overview_Template</vt:lpstr>
      <vt:lpstr>History_Template</vt:lpstr>
      <vt:lpstr>Moonspense</vt:lpstr>
      <vt:lpstr>Nancyplan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Liemawan</dc:creator>
  <cp:lastModifiedBy>Fabian Liemawan</cp:lastModifiedBy>
  <cp:lastPrinted>2021-04-15T06:39:24Z</cp:lastPrinted>
  <dcterms:created xsi:type="dcterms:W3CDTF">2021-04-06T20:54:58Z</dcterms:created>
  <dcterms:modified xsi:type="dcterms:W3CDTF">2021-05-30T13:19:13Z</dcterms:modified>
</cp:coreProperties>
</file>